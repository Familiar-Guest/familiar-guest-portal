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The owner-growth driver. Average number of paying owners during the year (accounts for ramp). Flip these to test growth scenarios.</t>
        </r>
      </text>
    </comment>
    <comment ref="B7" authorId="0">
      <text>
        <r>
          <rPr>
            <sz val="10"/>
            <rFont val="Arial"/>
            <family val="2"/>
          </rPr>
          <t xml:space="preserve">Blended ARPU across the 5% commission, $29 Solo, and $59 Pro plans plus thin add-on margin. Flip to test pricing/mix.</t>
        </r>
      </text>
    </comment>
    <comment ref="B8" authorId="0">
      <text>
        <r>
          <rPr>
            <sz val="10"/>
            <rFont val="Arial"/>
            <family val="2"/>
          </rPr>
          <t xml:space="preserve">After Stripe Connect platform fees, hosting, and third-party APIs. Card processing is passed through to owners at cost.</t>
        </r>
      </text>
    </comment>
    <comment ref="B9" authorId="0">
      <text>
        <r>
          <rPr>
            <sz val="10"/>
            <rFont val="Arial"/>
            <family val="2"/>
          </rPr>
          <t xml:space="preserve">Team, marketing, tools, legal, ops. Flip to test burn scenarios.</t>
        </r>
      </text>
    </comment>
    <comment ref="B22" authorId="0">
      <text>
        <r>
          <rPr>
            <sz val="10"/>
            <rFont val="Arial"/>
            <family val="2"/>
          </rPr>
          <t xml:space="preserve">The largest cumulative loss before turning positive — a proxy for how much capital is needed to reach profitability.</t>
        </r>
      </text>
    </comment>
  </commentList>
</comments>
</file>

<file path=xl/sharedStrings.xml><?xml version="1.0" encoding="utf-8"?>
<sst xmlns="http://schemas.openxmlformats.org/spreadsheetml/2006/main" count="28" uniqueCount="24">
  <si>
    <t xml:space="preserve">Familiar Guest — 3-Year Financial Model</t>
  </si>
  <si>
    <t xml:space="preserve">Edit the blue cells. Everything else recalculates automatically.</t>
  </si>
  <si>
    <t xml:space="preserve">ASSUMPTIONS  (edit the blue cells)</t>
  </si>
  <si>
    <t xml:space="preserve">Year 1</t>
  </si>
  <si>
    <t xml:space="preserve">Year 2</t>
  </si>
  <si>
    <t xml:space="preserve">Year 3</t>
  </si>
  <si>
    <t xml:space="preserve">Average active paying owners</t>
  </si>
  <si>
    <t xml:space="preserve">Revenue per active owner / year ($)</t>
  </si>
  <si>
    <t xml:space="preserve">Gross margin (%)</t>
  </si>
  <si>
    <t xml:space="preserve">Operating expenses ($)</t>
  </si>
  <si>
    <t xml:space="preserve">RESULTS  (calculated)</t>
  </si>
  <si>
    <t xml:space="preserve">Revenue ($)</t>
  </si>
  <si>
    <t xml:space="preserve">Gross profit ($)</t>
  </si>
  <si>
    <t xml:space="preserve">Operating profit / (loss) ($)</t>
  </si>
  <si>
    <t xml:space="preserve">Operating margin (%)</t>
  </si>
  <si>
    <t xml:space="preserve">Cumulative profit / (loss) ($)</t>
  </si>
  <si>
    <t xml:space="preserve">Implied YoY owner growth</t>
  </si>
  <si>
    <t xml:space="preserve">—</t>
  </si>
  <si>
    <t xml:space="preserve">KEY METRICS</t>
  </si>
  <si>
    <t xml:space="preserve">Peak cumulative funding need ($)</t>
  </si>
  <si>
    <t xml:space="preserve">3-year cumulative revenue ($)</t>
  </si>
  <si>
    <t xml:space="preserve">Year 3 operating margin (%)</t>
  </si>
  <si>
    <t xml:space="preserve">First year cash-flow positive</t>
  </si>
  <si>
    <t xml:space="preserve">Illustrative model. Defaults reproduce the Business Opportunity Brief. Owner counts and ARPU are the largest swing factors on Year 3 profitability.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</si>
</sst>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;&quot;($&quot;#,##0\);\-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F6E5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E8F0FE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BBBBB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b val="1"/>
        <color rgb="FF0F7B0F"/>
        <sz val="10"/>
      </font>
    </dxf>
    <dxf>
      <font>
        <name val="Arial"/>
        <charset val="1"/>
        <family val="0"/>
        <color rgb="FFC00000"/>
        <sz val="10"/>
      </font>
    </dxf>
    <dxf>
      <font>
        <name val="Arial"/>
        <charset val="1"/>
        <family val="0"/>
        <color rgb="FF0F7B0F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F7B0F"/>
      <rgbColor rgb="FF000080"/>
      <rgbColor rgb="FF808000"/>
      <rgbColor rgb="FF800080"/>
      <rgbColor rgb="FF0F6E56"/>
      <rgbColor rgb="FFBBBBBB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8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/>
      <c r="B5" s="5" t="s">
        <v>3</v>
      </c>
      <c r="C5" s="5" t="s">
        <v>4</v>
      </c>
      <c r="D5" s="5" t="s">
        <v>5</v>
      </c>
    </row>
    <row r="6" customFormat="false" ht="15" hidden="false" customHeight="false" outlineLevel="0" collapsed="false">
      <c r="A6" s="6" t="s">
        <v>6</v>
      </c>
      <c r="B6" s="7" t="n">
        <v>250</v>
      </c>
      <c r="C6" s="7" t="n">
        <v>2000</v>
      </c>
      <c r="D6" s="7" t="n">
        <v>7500</v>
      </c>
    </row>
    <row r="7" customFormat="false" ht="15" hidden="false" customHeight="false" outlineLevel="0" collapsed="false">
      <c r="A7" s="6" t="s">
        <v>7</v>
      </c>
      <c r="B7" s="8" t="n">
        <v>350</v>
      </c>
      <c r="C7" s="8" t="n">
        <v>350</v>
      </c>
      <c r="D7" s="8" t="n">
        <v>350</v>
      </c>
    </row>
    <row r="8" customFormat="false" ht="15" hidden="false" customHeight="false" outlineLevel="0" collapsed="false">
      <c r="A8" s="6" t="s">
        <v>8</v>
      </c>
      <c r="B8" s="9" t="n">
        <v>0.78</v>
      </c>
      <c r="C8" s="9" t="n">
        <v>0.78</v>
      </c>
      <c r="D8" s="9" t="n">
        <v>0.78</v>
      </c>
    </row>
    <row r="9" customFormat="false" ht="15" hidden="false" customHeight="false" outlineLevel="0" collapsed="false">
      <c r="A9" s="6" t="s">
        <v>9</v>
      </c>
      <c r="B9" s="8" t="n">
        <v>350000</v>
      </c>
      <c r="C9" s="8" t="n">
        <v>800000</v>
      </c>
      <c r="D9" s="8" t="n">
        <v>1500000</v>
      </c>
    </row>
    <row r="11" customFormat="false" ht="18" hidden="false" customHeight="true" outlineLevel="0" collapsed="false">
      <c r="A11" s="3" t="s">
        <v>10</v>
      </c>
      <c r="B11" s="3"/>
      <c r="C11" s="3"/>
      <c r="D11" s="3"/>
    </row>
    <row r="12" customFormat="false" ht="15" hidden="false" customHeight="false" outlineLevel="0" collapsed="false">
      <c r="A12" s="4"/>
      <c r="B12" s="5" t="s">
        <v>3</v>
      </c>
      <c r="C12" s="5" t="s">
        <v>4</v>
      </c>
      <c r="D12" s="5" t="s">
        <v>5</v>
      </c>
    </row>
    <row r="13" customFormat="false" ht="15" hidden="false" customHeight="false" outlineLevel="0" collapsed="false">
      <c r="A13" s="10" t="s">
        <v>11</v>
      </c>
      <c r="B13" s="11" t="n">
        <f aca="false">B6*B7</f>
        <v>87500</v>
      </c>
      <c r="C13" s="11" t="n">
        <f aca="false">C6*C7</f>
        <v>700000</v>
      </c>
      <c r="D13" s="11" t="n">
        <f aca="false">D6*D7</f>
        <v>2625000</v>
      </c>
    </row>
    <row r="14" customFormat="false" ht="15" hidden="false" customHeight="false" outlineLevel="0" collapsed="false">
      <c r="A14" s="12" t="s">
        <v>12</v>
      </c>
      <c r="B14" s="13" t="n">
        <f aca="false">B13*B8</f>
        <v>68250</v>
      </c>
      <c r="C14" s="13" t="n">
        <f aca="false">C13*C8</f>
        <v>546000</v>
      </c>
      <c r="D14" s="13" t="n">
        <f aca="false">D13*D8</f>
        <v>2047500</v>
      </c>
    </row>
    <row r="15" customFormat="false" ht="15" hidden="false" customHeight="false" outlineLevel="0" collapsed="false">
      <c r="A15" s="12" t="s">
        <v>9</v>
      </c>
      <c r="B15" s="13" t="n">
        <f aca="false">B9</f>
        <v>350000</v>
      </c>
      <c r="C15" s="13" t="n">
        <f aca="false">C9</f>
        <v>800000</v>
      </c>
      <c r="D15" s="13" t="n">
        <f aca="false">D9</f>
        <v>1500000</v>
      </c>
    </row>
    <row r="16" customFormat="false" ht="15" hidden="false" customHeight="false" outlineLevel="0" collapsed="false">
      <c r="A16" s="14" t="s">
        <v>13</v>
      </c>
      <c r="B16" s="15" t="n">
        <f aca="false">B14-B15</f>
        <v>-281750</v>
      </c>
      <c r="C16" s="15" t="n">
        <f aca="false">C14-C15</f>
        <v>-254000</v>
      </c>
      <c r="D16" s="15" t="n">
        <f aca="false">D14-D15</f>
        <v>547500</v>
      </c>
    </row>
    <row r="17" customFormat="false" ht="15" hidden="false" customHeight="false" outlineLevel="0" collapsed="false">
      <c r="A17" s="12" t="s">
        <v>14</v>
      </c>
      <c r="B17" s="16" t="n">
        <f aca="false">IF(B13=0,0,B16/B13)</f>
        <v>-3.22</v>
      </c>
      <c r="C17" s="16" t="n">
        <f aca="false">IF(C13=0,0,C16/C13)</f>
        <v>-0.362857142857143</v>
      </c>
      <c r="D17" s="16" t="n">
        <f aca="false">IF(D13=0,0,D16/D13)</f>
        <v>0.208571428571429</v>
      </c>
    </row>
    <row r="18" customFormat="false" ht="15" hidden="false" customHeight="false" outlineLevel="0" collapsed="false">
      <c r="A18" s="12" t="s">
        <v>15</v>
      </c>
      <c r="B18" s="13" t="n">
        <f aca="false">B16</f>
        <v>-281750</v>
      </c>
      <c r="C18" s="13" t="n">
        <f aca="false">B18+C16</f>
        <v>-535750</v>
      </c>
      <c r="D18" s="13" t="n">
        <f aca="false">C18+D16</f>
        <v>11750</v>
      </c>
    </row>
    <row r="19" customFormat="false" ht="15" hidden="false" customHeight="false" outlineLevel="0" collapsed="false">
      <c r="A19" s="17" t="s">
        <v>16</v>
      </c>
      <c r="B19" s="18" t="s">
        <v>17</v>
      </c>
      <c r="C19" s="18" t="n">
        <f aca="false">C6/B6-1</f>
        <v>7</v>
      </c>
      <c r="D19" s="18" t="n">
        <f aca="false">D6/C6-1</f>
        <v>2.75</v>
      </c>
    </row>
    <row r="21" customFormat="false" ht="18" hidden="false" customHeight="true" outlineLevel="0" collapsed="false">
      <c r="A21" s="3" t="s">
        <v>18</v>
      </c>
      <c r="B21" s="3"/>
      <c r="C21" s="3"/>
      <c r="D21" s="3"/>
    </row>
    <row r="22" customFormat="false" ht="15" hidden="false" customHeight="false" outlineLevel="0" collapsed="false">
      <c r="A22" s="6" t="s">
        <v>19</v>
      </c>
      <c r="B22" s="19" t="n">
        <f aca="false">-MIN(0,MIN(B18:D18))</f>
        <v>535750</v>
      </c>
      <c r="C22" s="20"/>
      <c r="D22" s="20"/>
    </row>
    <row r="23" customFormat="false" ht="15" hidden="false" customHeight="false" outlineLevel="0" collapsed="false">
      <c r="A23" s="6" t="s">
        <v>20</v>
      </c>
      <c r="B23" s="19" t="n">
        <f aca="false">SUM(B13:D13)</f>
        <v>3412500</v>
      </c>
      <c r="C23" s="20"/>
      <c r="D23" s="20"/>
    </row>
    <row r="24" customFormat="false" ht="15" hidden="false" customHeight="false" outlineLevel="0" collapsed="false">
      <c r="A24" s="6" t="s">
        <v>21</v>
      </c>
      <c r="B24" s="21" t="n">
        <f aca="false">D17</f>
        <v>0.208571428571429</v>
      </c>
      <c r="C24" s="20"/>
      <c r="D24" s="20"/>
    </row>
    <row r="25" customFormat="false" ht="15" hidden="false" customHeight="false" outlineLevel="0" collapsed="false">
      <c r="A25" s="6" t="s">
        <v>22</v>
      </c>
      <c r="B25" s="22" t="str">
        <f aca="false">IF(B18&gt;=0,"Year 1",IF(C18&gt;=0,"Year 2",IF(D18&gt;=0,"Year 3","After Year 3")))</f>
        <v>Year 3</v>
      </c>
      <c r="C25" s="20"/>
      <c r="D25" s="20"/>
    </row>
    <row r="27" customFormat="false" ht="15" hidden="false" customHeight="false" outlineLevel="0" collapsed="false">
      <c r="A27" s="23" t="s">
        <v>23</v>
      </c>
      <c r="B27" s="23"/>
      <c r="C27" s="23"/>
      <c r="D27" s="23"/>
    </row>
  </sheetData>
  <mergeCells count="10">
    <mergeCell ref="A1:D1"/>
    <mergeCell ref="A2:D2"/>
    <mergeCell ref="A4:D4"/>
    <mergeCell ref="A11:D11"/>
    <mergeCell ref="A21:D21"/>
    <mergeCell ref="C22:D22"/>
    <mergeCell ref="C23:D23"/>
    <mergeCell ref="C24:D24"/>
    <mergeCell ref="C25:D25"/>
    <mergeCell ref="A27:D27"/>
  </mergeCells>
  <conditionalFormatting sqref="B16:D16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B18:D18">
    <cfRule type="cellIs" priority="4" operator="lessThan" aboveAverage="0" equalAverage="0" bottom="0" percent="0" rank="0" text="" dxfId="2">
      <formula>0</formula>
    </cfRule>
    <cfRule type="cellIs" priority="5" operator="greaterThanOr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2026-06-07T16:20:08Z</dcterms:created>
  <dc:creator>openpyxl</dc:creator>
  <dc:description/>
  <dc:language>en-US</dc:language>
  <cp:lastModifiedBy/>
  <dcterms:modified xsi:type="dcterms:W3CDTF">2026-06-07T16:20:08Z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